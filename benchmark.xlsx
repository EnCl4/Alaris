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laris\"/>
    </mc:Choice>
  </mc:AlternateContent>
  <xr:revisionPtr revIDLastSave="0" documentId="13_ncr:1_{80CDBED9-1FD5-439B-BE97-48A3C5AFB3BA}" xr6:coauthVersionLast="47" xr6:coauthVersionMax="47" xr10:uidLastSave="{00000000-0000-0000-0000-000000000000}"/>
  <bookViews>
    <workbookView xWindow="-120" yWindow="-120" windowWidth="24240" windowHeight="13140" activeTab="1" xr2:uid="{ECC790B2-13DC-41B3-B0CE-C629308E75DC}"/>
  </bookViews>
  <sheets>
    <sheet name="SD" sheetId="1" r:id="rId1"/>
    <sheet name="BMP280" sheetId="2" r:id="rId2"/>
    <sheet name="MS561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2" l="1"/>
  <c r="R17" i="2"/>
  <c r="V17" i="2"/>
  <c r="J17" i="2"/>
  <c r="B14" i="3"/>
  <c r="AE15" i="3"/>
  <c r="AD15" i="3"/>
  <c r="AA15" i="3"/>
  <c r="Z15" i="3"/>
  <c r="W15" i="3"/>
  <c r="V15" i="3"/>
  <c r="S15" i="3"/>
  <c r="R15" i="3"/>
  <c r="O15" i="3"/>
  <c r="N15" i="3"/>
  <c r="K15" i="3"/>
  <c r="J15" i="3"/>
  <c r="AE14" i="3"/>
  <c r="AD14" i="3"/>
  <c r="AA14" i="3"/>
  <c r="Z14" i="3"/>
  <c r="W14" i="3"/>
  <c r="V14" i="3"/>
  <c r="S14" i="3"/>
  <c r="R14" i="3"/>
  <c r="O14" i="3"/>
  <c r="N14" i="3"/>
  <c r="K14" i="3"/>
  <c r="J14" i="3"/>
  <c r="G14" i="3"/>
  <c r="F14" i="3"/>
  <c r="C14" i="3"/>
  <c r="G13" i="3"/>
  <c r="F13" i="3"/>
  <c r="C13" i="3"/>
  <c r="B13" i="3"/>
  <c r="C14" i="2"/>
  <c r="B14" i="2"/>
  <c r="C13" i="2"/>
  <c r="B13" i="2"/>
  <c r="G14" i="2"/>
  <c r="F14" i="2"/>
  <c r="G13" i="2"/>
  <c r="F13" i="2"/>
  <c r="AE15" i="2"/>
  <c r="AD15" i="2"/>
  <c r="AE14" i="2"/>
  <c r="AD14" i="2"/>
  <c r="AA15" i="2"/>
  <c r="Z15" i="2"/>
  <c r="AA14" i="2"/>
  <c r="Z14" i="2"/>
  <c r="W15" i="2"/>
  <c r="V15" i="2"/>
  <c r="W14" i="2"/>
  <c r="V14" i="2"/>
  <c r="N15" i="2"/>
  <c r="O15" i="2"/>
  <c r="R15" i="2"/>
  <c r="S15" i="2"/>
  <c r="K15" i="2"/>
  <c r="J15" i="2"/>
  <c r="S14" i="2"/>
  <c r="R14" i="2"/>
  <c r="O14" i="2"/>
  <c r="N14" i="2"/>
  <c r="K14" i="2"/>
  <c r="J14" i="2"/>
  <c r="AE14" i="1"/>
  <c r="AD14" i="1"/>
  <c r="AA14" i="1"/>
  <c r="Z14" i="1"/>
  <c r="W14" i="1"/>
  <c r="V14" i="1"/>
  <c r="S14" i="1"/>
  <c r="R14" i="1"/>
  <c r="O14" i="1"/>
  <c r="N14" i="1"/>
  <c r="K14" i="1"/>
  <c r="J14" i="1"/>
  <c r="F14" i="1"/>
  <c r="G14" i="1"/>
  <c r="C14" i="1"/>
  <c r="B14" i="1"/>
</calcChain>
</file>

<file path=xl/sharedStrings.xml><?xml version="1.0" encoding="utf-8"?>
<sst xmlns="http://schemas.openxmlformats.org/spreadsheetml/2006/main" count="153" uniqueCount="24">
  <si>
    <t>TestNumber</t>
  </si>
  <si>
    <t>Write [Kb/s]</t>
  </si>
  <si>
    <t>Read [Kb/s]</t>
  </si>
  <si>
    <t>DMA</t>
  </si>
  <si>
    <t>NO DMA</t>
  </si>
  <si>
    <t>MEAN</t>
  </si>
  <si>
    <t>prescaler:32          BoudRate: 2.625Mbits/s</t>
  </si>
  <si>
    <t>prescaler:8          BoudRate: 10.5Mbits/s</t>
  </si>
  <si>
    <t>prescaler:4          BoudRate: 21.0Mbits/s</t>
  </si>
  <si>
    <t>prescaler:2          BoudRate: 42.0Mbits/s</t>
  </si>
  <si>
    <t>Time [us]</t>
  </si>
  <si>
    <t>Ciclos</t>
  </si>
  <si>
    <t>Média</t>
  </si>
  <si>
    <t>Protocol: I2C Freq: 100kHz DMA:NO</t>
  </si>
  <si>
    <t>Protocol: I2C Freq: 400kHz DMA:NO</t>
  </si>
  <si>
    <t>Protocol: SPI   DMA:NO</t>
  </si>
  <si>
    <t>Preescaler: 64 boutrate: 656.25kbit/s</t>
  </si>
  <si>
    <t>Preescaler: 32 boutrate: 1.3125Mbit/s</t>
  </si>
  <si>
    <t>Preescaler: 16 boutrate: 2.625Mbit/s</t>
  </si>
  <si>
    <t>Desvio</t>
  </si>
  <si>
    <t>Preescaler: 8 boutrate: 5.25Mbit/s</t>
  </si>
  <si>
    <t>Preescaler: 4 boutrate: 10.5Mbit/s</t>
  </si>
  <si>
    <t>Preescaler: 2 boutrate: 21Mbit/s</t>
  </si>
  <si>
    <t>656.26kHz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</si>
</sst>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B7F5-20D0-4590-8B38-B633EB22B36D}">
  <dimension ref="A1:AE14"/>
  <sheetViews>
    <sheetView workbookViewId="0">
      <selection activeCell="S19" sqref="S19"/>
    </sheetView>
  </sheetViews>
  <sheetFormatPr defaultRowHeight="15" x14ac:dyDescent="0.25"/>
  <cols>
    <col min="1" max="1" width="11.7109375" bestFit="1" customWidth="1"/>
    <col min="2" max="2" width="11.140625" bestFit="1" customWidth="1"/>
    <col min="3" max="3" width="11" bestFit="1" customWidth="1"/>
    <col min="5" max="5" width="11.7109375" bestFit="1" customWidth="1"/>
    <col min="6" max="6" width="12.5703125" bestFit="1" customWidth="1"/>
    <col min="7" max="7" width="11" bestFit="1" customWidth="1"/>
  </cols>
  <sheetData>
    <row r="1" spans="1:31" x14ac:dyDescent="0.25">
      <c r="A1" s="2" t="s">
        <v>6</v>
      </c>
      <c r="B1" s="2"/>
      <c r="C1" s="2"/>
      <c r="D1" s="2"/>
      <c r="E1" s="2"/>
      <c r="F1" s="2"/>
      <c r="G1" s="2"/>
      <c r="I1" s="2" t="s">
        <v>7</v>
      </c>
      <c r="J1" s="2"/>
      <c r="K1" s="2"/>
      <c r="L1" s="2"/>
      <c r="M1" s="2"/>
      <c r="N1" s="2"/>
      <c r="O1" s="2"/>
      <c r="Q1" s="2" t="s">
        <v>8</v>
      </c>
      <c r="R1" s="2"/>
      <c r="S1" s="2"/>
      <c r="T1" s="2"/>
      <c r="U1" s="2"/>
      <c r="V1" s="2"/>
      <c r="W1" s="2"/>
      <c r="Y1" s="2" t="s">
        <v>9</v>
      </c>
      <c r="Z1" s="2"/>
      <c r="AA1" s="2"/>
      <c r="AB1" s="2"/>
      <c r="AC1" s="2"/>
      <c r="AD1" s="2"/>
      <c r="AE1" s="2"/>
    </row>
    <row r="2" spans="1:31" x14ac:dyDescent="0.25">
      <c r="A2" s="2" t="s">
        <v>3</v>
      </c>
      <c r="B2" s="2"/>
      <c r="C2" s="2"/>
      <c r="E2" s="2" t="s">
        <v>4</v>
      </c>
      <c r="F2" s="2"/>
      <c r="G2" s="2"/>
      <c r="I2" s="2" t="s">
        <v>3</v>
      </c>
      <c r="J2" s="2"/>
      <c r="K2" s="2"/>
      <c r="M2" s="2" t="s">
        <v>4</v>
      </c>
      <c r="N2" s="2"/>
      <c r="O2" s="2"/>
      <c r="Q2" s="2" t="s">
        <v>3</v>
      </c>
      <c r="R2" s="2"/>
      <c r="S2" s="2"/>
      <c r="U2" s="2" t="s">
        <v>4</v>
      </c>
      <c r="V2" s="2"/>
      <c r="W2" s="2"/>
      <c r="Y2" s="2" t="s">
        <v>3</v>
      </c>
      <c r="Z2" s="2"/>
      <c r="AA2" s="2"/>
      <c r="AC2" s="2" t="s">
        <v>4</v>
      </c>
      <c r="AD2" s="2"/>
      <c r="AE2" s="2"/>
    </row>
    <row r="3" spans="1:31" x14ac:dyDescent="0.25">
      <c r="A3" t="s">
        <v>0</v>
      </c>
      <c r="B3" t="s">
        <v>1</v>
      </c>
      <c r="C3" t="s">
        <v>2</v>
      </c>
      <c r="E3" t="s">
        <v>0</v>
      </c>
      <c r="F3" t="s">
        <v>1</v>
      </c>
      <c r="G3" t="s">
        <v>2</v>
      </c>
      <c r="I3" t="s">
        <v>0</v>
      </c>
      <c r="J3" t="s">
        <v>1</v>
      </c>
      <c r="K3" t="s">
        <v>2</v>
      </c>
      <c r="M3" t="s">
        <v>0</v>
      </c>
      <c r="N3" t="s">
        <v>1</v>
      </c>
      <c r="O3" t="s">
        <v>2</v>
      </c>
      <c r="Q3" t="s">
        <v>0</v>
      </c>
      <c r="R3" t="s">
        <v>1</v>
      </c>
      <c r="S3" t="s">
        <v>2</v>
      </c>
      <c r="U3" t="s">
        <v>0</v>
      </c>
      <c r="V3" t="s">
        <v>1</v>
      </c>
      <c r="W3" t="s">
        <v>2</v>
      </c>
      <c r="Y3" t="s">
        <v>0</v>
      </c>
      <c r="Z3" t="s">
        <v>1</v>
      </c>
      <c r="AA3" t="s">
        <v>2</v>
      </c>
      <c r="AC3" t="s">
        <v>0</v>
      </c>
      <c r="AD3" t="s">
        <v>1</v>
      </c>
      <c r="AE3" t="s">
        <v>2</v>
      </c>
    </row>
    <row r="4" spans="1:31" x14ac:dyDescent="0.25">
      <c r="A4">
        <v>1</v>
      </c>
      <c r="B4">
        <v>208</v>
      </c>
      <c r="C4">
        <v>247</v>
      </c>
      <c r="E4">
        <v>1</v>
      </c>
      <c r="F4">
        <v>207</v>
      </c>
      <c r="G4">
        <v>85</v>
      </c>
      <c r="I4">
        <v>1</v>
      </c>
      <c r="J4">
        <v>411</v>
      </c>
      <c r="K4">
        <v>598</v>
      </c>
      <c r="M4">
        <v>1</v>
      </c>
      <c r="N4">
        <v>379</v>
      </c>
      <c r="O4">
        <v>101</v>
      </c>
      <c r="Q4">
        <v>1</v>
      </c>
      <c r="R4">
        <v>496</v>
      </c>
      <c r="S4">
        <v>773</v>
      </c>
      <c r="U4">
        <v>1</v>
      </c>
      <c r="V4">
        <v>453</v>
      </c>
      <c r="W4">
        <v>112</v>
      </c>
      <c r="Y4">
        <v>1</v>
      </c>
      <c r="Z4">
        <v>0</v>
      </c>
      <c r="AA4">
        <v>0</v>
      </c>
      <c r="AC4">
        <v>1</v>
      </c>
      <c r="AD4">
        <v>0</v>
      </c>
      <c r="AE4">
        <v>0</v>
      </c>
    </row>
    <row r="5" spans="1:31" x14ac:dyDescent="0.25">
      <c r="A5">
        <v>2</v>
      </c>
      <c r="B5">
        <v>208</v>
      </c>
      <c r="C5">
        <v>248</v>
      </c>
      <c r="E5">
        <v>2</v>
      </c>
      <c r="F5">
        <v>207</v>
      </c>
      <c r="G5">
        <v>85</v>
      </c>
      <c r="I5">
        <v>2</v>
      </c>
      <c r="J5">
        <v>398</v>
      </c>
      <c r="K5">
        <v>597</v>
      </c>
      <c r="M5">
        <v>2</v>
      </c>
      <c r="N5">
        <v>398</v>
      </c>
      <c r="O5">
        <v>101</v>
      </c>
      <c r="Q5">
        <v>2</v>
      </c>
      <c r="R5">
        <v>492</v>
      </c>
      <c r="S5">
        <v>782</v>
      </c>
      <c r="U5">
        <v>2</v>
      </c>
      <c r="V5">
        <v>448</v>
      </c>
      <c r="W5">
        <v>111</v>
      </c>
      <c r="Y5">
        <v>2</v>
      </c>
      <c r="Z5">
        <v>0</v>
      </c>
      <c r="AA5">
        <v>0</v>
      </c>
      <c r="AC5">
        <v>2</v>
      </c>
      <c r="AD5">
        <v>0</v>
      </c>
      <c r="AE5">
        <v>0</v>
      </c>
    </row>
    <row r="6" spans="1:31" x14ac:dyDescent="0.25">
      <c r="A6">
        <v>3</v>
      </c>
      <c r="B6">
        <v>208</v>
      </c>
      <c r="C6">
        <v>247</v>
      </c>
      <c r="E6">
        <v>3</v>
      </c>
      <c r="F6">
        <v>204</v>
      </c>
      <c r="G6">
        <v>85</v>
      </c>
      <c r="I6">
        <v>3</v>
      </c>
      <c r="J6">
        <v>418</v>
      </c>
      <c r="K6">
        <v>598</v>
      </c>
      <c r="M6">
        <v>3</v>
      </c>
      <c r="N6">
        <v>391</v>
      </c>
      <c r="O6">
        <v>101</v>
      </c>
      <c r="Q6">
        <v>3</v>
      </c>
      <c r="R6">
        <v>490</v>
      </c>
      <c r="S6">
        <v>782</v>
      </c>
      <c r="U6">
        <v>3</v>
      </c>
      <c r="V6">
        <v>444</v>
      </c>
      <c r="W6">
        <v>112</v>
      </c>
      <c r="Y6">
        <v>3</v>
      </c>
      <c r="Z6">
        <v>0</v>
      </c>
      <c r="AA6">
        <v>0</v>
      </c>
      <c r="AC6">
        <v>3</v>
      </c>
      <c r="AD6">
        <v>0</v>
      </c>
      <c r="AE6">
        <v>0</v>
      </c>
    </row>
    <row r="7" spans="1:31" x14ac:dyDescent="0.25">
      <c r="A7">
        <v>4</v>
      </c>
      <c r="B7">
        <v>199</v>
      </c>
      <c r="C7">
        <v>248</v>
      </c>
      <c r="E7">
        <v>4</v>
      </c>
      <c r="F7">
        <v>210</v>
      </c>
      <c r="G7">
        <v>85</v>
      </c>
      <c r="I7">
        <v>4</v>
      </c>
      <c r="J7">
        <v>411</v>
      </c>
      <c r="K7">
        <v>594</v>
      </c>
      <c r="M7">
        <v>4</v>
      </c>
      <c r="N7">
        <v>390</v>
      </c>
      <c r="O7">
        <v>101</v>
      </c>
      <c r="Q7">
        <v>4</v>
      </c>
      <c r="R7">
        <v>474</v>
      </c>
      <c r="S7">
        <v>782</v>
      </c>
      <c r="U7">
        <v>4</v>
      </c>
      <c r="V7">
        <v>431</v>
      </c>
      <c r="W7">
        <v>111</v>
      </c>
      <c r="Y7">
        <v>4</v>
      </c>
      <c r="Z7">
        <v>0</v>
      </c>
      <c r="AA7">
        <v>0</v>
      </c>
      <c r="AC7">
        <v>4</v>
      </c>
      <c r="AD7">
        <v>0</v>
      </c>
      <c r="AE7">
        <v>0</v>
      </c>
    </row>
    <row r="8" spans="1:31" x14ac:dyDescent="0.25">
      <c r="A8">
        <v>5</v>
      </c>
      <c r="B8">
        <v>211</v>
      </c>
      <c r="C8">
        <v>247</v>
      </c>
      <c r="E8">
        <v>5</v>
      </c>
      <c r="F8">
        <v>207</v>
      </c>
      <c r="G8">
        <v>85</v>
      </c>
      <c r="I8">
        <v>5</v>
      </c>
      <c r="J8">
        <v>411</v>
      </c>
      <c r="K8">
        <v>598</v>
      </c>
      <c r="M8">
        <v>5</v>
      </c>
      <c r="N8">
        <v>397</v>
      </c>
      <c r="O8">
        <v>101</v>
      </c>
      <c r="Q8">
        <v>5</v>
      </c>
      <c r="R8">
        <v>507</v>
      </c>
      <c r="S8">
        <v>781</v>
      </c>
      <c r="U8">
        <v>5</v>
      </c>
      <c r="V8">
        <v>447</v>
      </c>
      <c r="W8">
        <v>112</v>
      </c>
      <c r="Y8">
        <v>5</v>
      </c>
      <c r="Z8">
        <v>0</v>
      </c>
      <c r="AA8">
        <v>0</v>
      </c>
      <c r="AC8">
        <v>5</v>
      </c>
      <c r="AD8">
        <v>0</v>
      </c>
      <c r="AE8">
        <v>0</v>
      </c>
    </row>
    <row r="9" spans="1:31" x14ac:dyDescent="0.25">
      <c r="A9">
        <v>6</v>
      </c>
      <c r="B9">
        <v>207</v>
      </c>
      <c r="C9">
        <v>248</v>
      </c>
      <c r="E9">
        <v>6</v>
      </c>
      <c r="F9">
        <v>207</v>
      </c>
      <c r="G9">
        <v>85</v>
      </c>
      <c r="I9">
        <v>6</v>
      </c>
      <c r="J9">
        <v>398</v>
      </c>
      <c r="K9">
        <v>591</v>
      </c>
      <c r="M9">
        <v>6</v>
      </c>
      <c r="N9">
        <v>392</v>
      </c>
      <c r="O9">
        <v>101</v>
      </c>
      <c r="Q9">
        <v>6</v>
      </c>
      <c r="R9">
        <v>489</v>
      </c>
      <c r="S9">
        <v>778</v>
      </c>
      <c r="U9">
        <v>6</v>
      </c>
      <c r="V9">
        <v>458</v>
      </c>
      <c r="W9">
        <v>112</v>
      </c>
      <c r="Y9">
        <v>6</v>
      </c>
      <c r="Z9">
        <v>0</v>
      </c>
      <c r="AA9">
        <v>0</v>
      </c>
      <c r="AC9">
        <v>6</v>
      </c>
      <c r="AD9">
        <v>0</v>
      </c>
      <c r="AE9">
        <v>0</v>
      </c>
    </row>
    <row r="10" spans="1:31" x14ac:dyDescent="0.25">
      <c r="A10">
        <v>7</v>
      </c>
      <c r="B10">
        <v>208</v>
      </c>
      <c r="C10">
        <v>247</v>
      </c>
      <c r="E10">
        <v>7</v>
      </c>
      <c r="F10">
        <v>204</v>
      </c>
      <c r="G10">
        <v>85</v>
      </c>
      <c r="I10">
        <v>7</v>
      </c>
      <c r="J10">
        <v>413</v>
      </c>
      <c r="K10">
        <v>599</v>
      </c>
      <c r="M10">
        <v>7</v>
      </c>
      <c r="N10">
        <v>400</v>
      </c>
      <c r="O10">
        <v>101</v>
      </c>
      <c r="Q10">
        <v>7</v>
      </c>
      <c r="R10">
        <v>493</v>
      </c>
      <c r="S10">
        <v>782</v>
      </c>
      <c r="U10">
        <v>7</v>
      </c>
      <c r="V10">
        <v>442</v>
      </c>
      <c r="W10">
        <v>112</v>
      </c>
      <c r="Y10">
        <v>7</v>
      </c>
      <c r="Z10">
        <v>0</v>
      </c>
      <c r="AA10">
        <v>0</v>
      </c>
      <c r="AC10">
        <v>7</v>
      </c>
      <c r="AD10">
        <v>0</v>
      </c>
      <c r="AE10">
        <v>0</v>
      </c>
    </row>
    <row r="11" spans="1:31" x14ac:dyDescent="0.25">
      <c r="A11">
        <v>8</v>
      </c>
      <c r="B11">
        <v>205</v>
      </c>
      <c r="C11">
        <v>247</v>
      </c>
      <c r="E11">
        <v>8</v>
      </c>
      <c r="F11">
        <v>208</v>
      </c>
      <c r="G11">
        <v>85</v>
      </c>
      <c r="I11">
        <v>8</v>
      </c>
      <c r="J11">
        <v>422</v>
      </c>
      <c r="K11">
        <v>599</v>
      </c>
      <c r="M11">
        <v>8</v>
      </c>
      <c r="N11">
        <v>387</v>
      </c>
      <c r="O11">
        <v>101</v>
      </c>
      <c r="Q11">
        <v>8</v>
      </c>
      <c r="R11">
        <v>474</v>
      </c>
      <c r="S11">
        <v>775</v>
      </c>
      <c r="U11">
        <v>8</v>
      </c>
      <c r="V11">
        <v>446</v>
      </c>
      <c r="W11">
        <v>112</v>
      </c>
      <c r="Y11">
        <v>8</v>
      </c>
      <c r="Z11">
        <v>0</v>
      </c>
      <c r="AA11">
        <v>0</v>
      </c>
      <c r="AC11">
        <v>8</v>
      </c>
      <c r="AD11">
        <v>0</v>
      </c>
      <c r="AE11">
        <v>0</v>
      </c>
    </row>
    <row r="12" spans="1:31" x14ac:dyDescent="0.25">
      <c r="A12">
        <v>9</v>
      </c>
      <c r="B12">
        <v>209</v>
      </c>
      <c r="C12">
        <v>247</v>
      </c>
      <c r="E12">
        <v>9</v>
      </c>
      <c r="F12">
        <v>209</v>
      </c>
      <c r="G12">
        <v>85</v>
      </c>
      <c r="I12">
        <v>9</v>
      </c>
      <c r="J12">
        <v>406</v>
      </c>
      <c r="K12">
        <v>598</v>
      </c>
      <c r="M12">
        <v>9</v>
      </c>
      <c r="N12">
        <v>391</v>
      </c>
      <c r="O12">
        <v>101</v>
      </c>
      <c r="Q12">
        <v>9</v>
      </c>
      <c r="R12">
        <v>499</v>
      </c>
      <c r="S12">
        <v>781</v>
      </c>
      <c r="U12">
        <v>9</v>
      </c>
      <c r="V12">
        <v>431</v>
      </c>
      <c r="W12">
        <v>111</v>
      </c>
      <c r="Y12">
        <v>9</v>
      </c>
      <c r="Z12">
        <v>0</v>
      </c>
      <c r="AA12">
        <v>0</v>
      </c>
      <c r="AC12">
        <v>9</v>
      </c>
      <c r="AD12">
        <v>0</v>
      </c>
      <c r="AE12">
        <v>0</v>
      </c>
    </row>
    <row r="13" spans="1:31" x14ac:dyDescent="0.25">
      <c r="A13">
        <v>10</v>
      </c>
      <c r="B13">
        <v>209</v>
      </c>
      <c r="C13">
        <v>247</v>
      </c>
      <c r="E13">
        <v>10</v>
      </c>
      <c r="F13">
        <v>207</v>
      </c>
      <c r="G13">
        <v>85</v>
      </c>
      <c r="I13">
        <v>10</v>
      </c>
      <c r="J13">
        <v>411</v>
      </c>
      <c r="K13">
        <v>599</v>
      </c>
      <c r="M13">
        <v>10</v>
      </c>
      <c r="N13">
        <v>379</v>
      </c>
      <c r="O13">
        <v>101</v>
      </c>
      <c r="Q13">
        <v>10</v>
      </c>
      <c r="R13">
        <v>498</v>
      </c>
      <c r="S13">
        <v>773</v>
      </c>
      <c r="U13">
        <v>10</v>
      </c>
      <c r="V13">
        <v>452</v>
      </c>
      <c r="W13">
        <v>112</v>
      </c>
      <c r="Y13">
        <v>10</v>
      </c>
      <c r="Z13">
        <v>0</v>
      </c>
      <c r="AA13">
        <v>0</v>
      </c>
      <c r="AC13">
        <v>10</v>
      </c>
      <c r="AD13">
        <v>0</v>
      </c>
      <c r="AE13">
        <v>0</v>
      </c>
    </row>
    <row r="14" spans="1:31" x14ac:dyDescent="0.25">
      <c r="A14" t="s">
        <v>5</v>
      </c>
      <c r="B14" s="1">
        <f>AVERAGE(B4:B13)</f>
        <v>207.2</v>
      </c>
      <c r="C14" s="1">
        <f>AVERAGE(C4:C13)</f>
        <v>247.3</v>
      </c>
      <c r="E14" t="s">
        <v>5</v>
      </c>
      <c r="F14" s="1">
        <f>AVERAGE(F4:F13)</f>
        <v>207</v>
      </c>
      <c r="G14" s="1">
        <f>AVERAGE(G4:G13)</f>
        <v>85</v>
      </c>
      <c r="I14" t="s">
        <v>5</v>
      </c>
      <c r="J14" s="1">
        <f>AVERAGE(J4:J13)</f>
        <v>409.9</v>
      </c>
      <c r="K14" s="1">
        <f>AVERAGE(K4:K13)</f>
        <v>597.1</v>
      </c>
      <c r="M14" t="s">
        <v>5</v>
      </c>
      <c r="N14" s="1">
        <f>AVERAGE(N4:N13)</f>
        <v>390.4</v>
      </c>
      <c r="O14" s="1">
        <f>AVERAGE(O4:O13)</f>
        <v>101</v>
      </c>
      <c r="Q14" t="s">
        <v>5</v>
      </c>
      <c r="R14" s="1">
        <f>AVERAGE(R4:R13)</f>
        <v>491.2</v>
      </c>
      <c r="S14" s="1">
        <f>AVERAGE(S4:S13)</f>
        <v>778.9</v>
      </c>
      <c r="U14" t="s">
        <v>5</v>
      </c>
      <c r="V14" s="1">
        <f>AVERAGE(V4:V13)</f>
        <v>445.2</v>
      </c>
      <c r="W14" s="1">
        <f>AVERAGE(W4:W13)</f>
        <v>111.7</v>
      </c>
      <c r="Y14" t="s">
        <v>5</v>
      </c>
      <c r="Z14" s="1">
        <f>AVERAGE(Z4:Z13)</f>
        <v>0</v>
      </c>
      <c r="AA14" s="1">
        <f>AVERAGE(AA4:AA13)</f>
        <v>0</v>
      </c>
      <c r="AC14" t="s">
        <v>5</v>
      </c>
      <c r="AD14" s="1">
        <f>AVERAGE(AD4:AD13)</f>
        <v>0</v>
      </c>
      <c r="AE14" s="1">
        <f>AVERAGE(AE4:AE13)</f>
        <v>0</v>
      </c>
    </row>
  </sheetData>
  <mergeCells count="12">
    <mergeCell ref="A2:C2"/>
    <mergeCell ref="E2:G2"/>
    <mergeCell ref="A1:G1"/>
    <mergeCell ref="I1:O1"/>
    <mergeCell ref="I2:K2"/>
    <mergeCell ref="M2:O2"/>
    <mergeCell ref="Q1:W1"/>
    <mergeCell ref="Q2:S2"/>
    <mergeCell ref="U2:W2"/>
    <mergeCell ref="Y1:AE1"/>
    <mergeCell ref="Y2:AA2"/>
    <mergeCell ref="AC2:A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B939-80BF-4410-8D71-591F31BBD610}">
  <dimension ref="A1:AE18"/>
  <sheetViews>
    <sheetView tabSelected="1" topLeftCell="E1" workbookViewId="0">
      <selection activeCell="K24" sqref="K24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2" customWidth="1"/>
    <col min="5" max="5" width="11.7109375" bestFit="1" customWidth="1"/>
    <col min="9" max="9" width="11.7109375" bestFit="1" customWidth="1"/>
    <col min="10" max="10" width="12.140625" customWidth="1"/>
    <col min="11" max="11" width="15.85546875" customWidth="1"/>
    <col min="13" max="13" width="11.7109375" bestFit="1" customWidth="1"/>
    <col min="15" max="15" width="15.5703125" customWidth="1"/>
    <col min="17" max="17" width="11.7109375" bestFit="1" customWidth="1"/>
    <col min="18" max="18" width="11.140625" customWidth="1"/>
    <col min="19" max="19" width="11.7109375" customWidth="1"/>
    <col min="21" max="21" width="11.7109375" bestFit="1" customWidth="1"/>
    <col min="22" max="23" width="12" bestFit="1" customWidth="1"/>
    <col min="25" max="25" width="11.7109375" bestFit="1" customWidth="1"/>
    <col min="26" max="26" width="12" bestFit="1" customWidth="1"/>
    <col min="27" max="27" width="11" bestFit="1" customWidth="1"/>
    <col min="29" max="29" width="11.7109375" bestFit="1" customWidth="1"/>
    <col min="30" max="31" width="12" bestFit="1" customWidth="1"/>
  </cols>
  <sheetData>
    <row r="1" spans="1:31" x14ac:dyDescent="0.25">
      <c r="A1" s="2" t="s">
        <v>13</v>
      </c>
      <c r="B1" s="2"/>
      <c r="C1" s="2"/>
      <c r="E1" s="2" t="s">
        <v>14</v>
      </c>
      <c r="F1" s="2"/>
      <c r="G1" s="2"/>
      <c r="I1" s="2" t="s">
        <v>15</v>
      </c>
      <c r="J1" s="2"/>
      <c r="K1" s="2"/>
      <c r="M1" s="2" t="s">
        <v>15</v>
      </c>
      <c r="N1" s="2"/>
      <c r="O1" s="2"/>
      <c r="Q1" s="2" t="s">
        <v>15</v>
      </c>
      <c r="R1" s="2"/>
      <c r="S1" s="2"/>
      <c r="U1" s="2" t="s">
        <v>15</v>
      </c>
      <c r="V1" s="2"/>
      <c r="W1" s="2"/>
      <c r="Y1" s="2" t="s">
        <v>15</v>
      </c>
      <c r="Z1" s="2"/>
      <c r="AA1" s="2"/>
      <c r="AC1" s="2" t="s">
        <v>15</v>
      </c>
      <c r="AD1" s="2"/>
      <c r="AE1" s="2"/>
    </row>
    <row r="2" spans="1:31" x14ac:dyDescent="0.25">
      <c r="A2" t="s">
        <v>0</v>
      </c>
      <c r="B2" t="s">
        <v>10</v>
      </c>
      <c r="C2" t="s">
        <v>11</v>
      </c>
      <c r="E2" t="s">
        <v>0</v>
      </c>
      <c r="F2" t="s">
        <v>10</v>
      </c>
      <c r="G2" t="s">
        <v>11</v>
      </c>
      <c r="I2" s="2" t="s">
        <v>16</v>
      </c>
      <c r="J2" s="2"/>
      <c r="K2" s="2"/>
      <c r="M2" s="2" t="s">
        <v>17</v>
      </c>
      <c r="N2" s="2"/>
      <c r="O2" s="2"/>
      <c r="Q2" s="2" t="s">
        <v>18</v>
      </c>
      <c r="R2" s="2"/>
      <c r="S2" s="2"/>
      <c r="U2" s="2" t="s">
        <v>20</v>
      </c>
      <c r="V2" s="2"/>
      <c r="W2" s="2"/>
      <c r="Y2" s="2" t="s">
        <v>21</v>
      </c>
      <c r="Z2" s="2"/>
      <c r="AA2" s="2"/>
      <c r="AC2" s="2" t="s">
        <v>22</v>
      </c>
      <c r="AD2" s="2"/>
      <c r="AE2" s="2"/>
    </row>
    <row r="3" spans="1:31" x14ac:dyDescent="0.25">
      <c r="A3">
        <v>1</v>
      </c>
      <c r="B3">
        <v>857.85699999999997</v>
      </c>
      <c r="C3">
        <v>72060</v>
      </c>
      <c r="E3">
        <v>1</v>
      </c>
      <c r="F3">
        <v>235.452</v>
      </c>
      <c r="G3">
        <v>19778</v>
      </c>
      <c r="I3" t="s">
        <v>0</v>
      </c>
      <c r="J3" t="s">
        <v>10</v>
      </c>
      <c r="K3" t="s">
        <v>11</v>
      </c>
      <c r="M3" t="s">
        <v>0</v>
      </c>
      <c r="N3" t="s">
        <v>10</v>
      </c>
      <c r="O3" t="s">
        <v>11</v>
      </c>
      <c r="Q3" t="s">
        <v>0</v>
      </c>
      <c r="R3" t="s">
        <v>10</v>
      </c>
      <c r="S3" t="s">
        <v>11</v>
      </c>
      <c r="U3" t="s">
        <v>0</v>
      </c>
      <c r="V3" t="s">
        <v>10</v>
      </c>
      <c r="W3" t="s">
        <v>11</v>
      </c>
      <c r="Y3" t="s">
        <v>0</v>
      </c>
      <c r="Z3" t="s">
        <v>10</v>
      </c>
      <c r="AA3" t="s">
        <v>11</v>
      </c>
      <c r="AC3" t="s">
        <v>0</v>
      </c>
      <c r="AD3" t="s">
        <v>10</v>
      </c>
      <c r="AE3" t="s">
        <v>11</v>
      </c>
    </row>
    <row r="4" spans="1:31" x14ac:dyDescent="0.25">
      <c r="A4">
        <v>2</v>
      </c>
      <c r="B4">
        <v>857.85699999999997</v>
      </c>
      <c r="C4">
        <v>72060</v>
      </c>
      <c r="E4">
        <v>2</v>
      </c>
      <c r="F4">
        <v>235.619</v>
      </c>
      <c r="G4">
        <v>19792</v>
      </c>
      <c r="I4">
        <v>1</v>
      </c>
      <c r="J4">
        <v>150.131</v>
      </c>
      <c r="K4">
        <v>12611</v>
      </c>
      <c r="M4">
        <v>1</v>
      </c>
      <c r="N4">
        <v>104.036</v>
      </c>
      <c r="O4">
        <v>8739</v>
      </c>
      <c r="Q4">
        <v>1</v>
      </c>
      <c r="R4">
        <v>80.619</v>
      </c>
      <c r="S4">
        <v>6772</v>
      </c>
      <c r="U4">
        <v>1</v>
      </c>
      <c r="V4">
        <v>73.298000000000002</v>
      </c>
      <c r="W4">
        <v>6157</v>
      </c>
      <c r="Y4">
        <v>1</v>
      </c>
      <c r="Z4">
        <v>67.917000000000002</v>
      </c>
      <c r="AA4">
        <v>5705</v>
      </c>
      <c r="AC4">
        <v>1</v>
      </c>
      <c r="AD4">
        <v>67.774000000000001</v>
      </c>
      <c r="AE4">
        <v>5693</v>
      </c>
    </row>
    <row r="5" spans="1:31" x14ac:dyDescent="0.25">
      <c r="A5">
        <v>3</v>
      </c>
      <c r="B5">
        <v>858.03599999999994</v>
      </c>
      <c r="C5">
        <v>72075</v>
      </c>
      <c r="E5">
        <v>3</v>
      </c>
      <c r="F5">
        <v>235.464</v>
      </c>
      <c r="G5">
        <v>19779</v>
      </c>
      <c r="I5">
        <v>2</v>
      </c>
      <c r="J5">
        <v>150.131</v>
      </c>
      <c r="K5">
        <v>12611</v>
      </c>
      <c r="M5">
        <v>2</v>
      </c>
      <c r="N5">
        <v>104.036</v>
      </c>
      <c r="O5">
        <v>8739</v>
      </c>
      <c r="Q5">
        <v>2</v>
      </c>
      <c r="R5">
        <v>80.619</v>
      </c>
      <c r="S5">
        <v>6772</v>
      </c>
      <c r="U5">
        <v>2</v>
      </c>
      <c r="V5">
        <v>73.463999999999999</v>
      </c>
      <c r="W5">
        <v>6171</v>
      </c>
      <c r="Y5">
        <v>2</v>
      </c>
      <c r="Z5">
        <v>67.917000000000002</v>
      </c>
      <c r="AA5">
        <v>5705</v>
      </c>
      <c r="AC5">
        <v>2</v>
      </c>
      <c r="AD5">
        <v>67.869</v>
      </c>
      <c r="AE5">
        <v>5701</v>
      </c>
    </row>
    <row r="6" spans="1:31" x14ac:dyDescent="0.25">
      <c r="A6">
        <v>4</v>
      </c>
      <c r="B6">
        <v>857.92899999999997</v>
      </c>
      <c r="C6">
        <v>72066</v>
      </c>
      <c r="E6">
        <v>4</v>
      </c>
      <c r="F6">
        <v>235.464</v>
      </c>
      <c r="G6">
        <v>19779</v>
      </c>
      <c r="I6">
        <v>3</v>
      </c>
      <c r="J6">
        <v>150.286</v>
      </c>
      <c r="K6">
        <v>12624</v>
      </c>
      <c r="M6">
        <v>3</v>
      </c>
      <c r="N6">
        <v>104.036</v>
      </c>
      <c r="O6">
        <v>8739</v>
      </c>
      <c r="Q6">
        <v>3</v>
      </c>
      <c r="R6">
        <v>80.631</v>
      </c>
      <c r="S6">
        <v>6773</v>
      </c>
      <c r="U6">
        <v>3</v>
      </c>
      <c r="V6">
        <v>73.298000000000002</v>
      </c>
      <c r="W6">
        <v>6157</v>
      </c>
      <c r="Y6">
        <v>3</v>
      </c>
      <c r="Z6">
        <v>67.929000000000002</v>
      </c>
      <c r="AA6">
        <v>5706</v>
      </c>
      <c r="AC6">
        <v>3</v>
      </c>
      <c r="AD6">
        <v>67.929000000000002</v>
      </c>
      <c r="AE6">
        <v>5706</v>
      </c>
    </row>
    <row r="7" spans="1:31" x14ac:dyDescent="0.25">
      <c r="A7">
        <v>5</v>
      </c>
      <c r="B7">
        <v>857.94</v>
      </c>
      <c r="C7">
        <v>72067</v>
      </c>
      <c r="E7">
        <v>5</v>
      </c>
      <c r="F7">
        <v>235.476</v>
      </c>
      <c r="G7">
        <v>19780</v>
      </c>
      <c r="I7">
        <v>4</v>
      </c>
      <c r="J7">
        <v>150.131</v>
      </c>
      <c r="K7">
        <v>12611</v>
      </c>
      <c r="M7">
        <v>4</v>
      </c>
      <c r="N7">
        <v>104.095</v>
      </c>
      <c r="O7">
        <v>8744</v>
      </c>
      <c r="Q7">
        <v>4</v>
      </c>
      <c r="R7">
        <v>80.713999999999999</v>
      </c>
      <c r="S7">
        <v>6780</v>
      </c>
      <c r="U7">
        <v>4</v>
      </c>
      <c r="V7">
        <v>73.356999999999999</v>
      </c>
      <c r="W7">
        <v>6162</v>
      </c>
      <c r="Y7">
        <v>4</v>
      </c>
      <c r="Z7">
        <v>67.929000000000002</v>
      </c>
      <c r="AA7">
        <v>5706</v>
      </c>
      <c r="AC7">
        <v>4</v>
      </c>
      <c r="AD7">
        <v>67.929000000000002</v>
      </c>
      <c r="AE7">
        <v>5706</v>
      </c>
    </row>
    <row r="8" spans="1:31" x14ac:dyDescent="0.25">
      <c r="A8">
        <v>6</v>
      </c>
      <c r="B8">
        <v>857.92899999999997</v>
      </c>
      <c r="C8">
        <v>72066</v>
      </c>
      <c r="E8">
        <v>6</v>
      </c>
      <c r="F8">
        <v>235.476</v>
      </c>
      <c r="G8">
        <v>19780</v>
      </c>
      <c r="I8">
        <v>5</v>
      </c>
      <c r="J8">
        <v>150.202</v>
      </c>
      <c r="K8">
        <v>12617</v>
      </c>
      <c r="M8">
        <v>5</v>
      </c>
      <c r="N8">
        <v>104.179</v>
      </c>
      <c r="O8">
        <v>8751</v>
      </c>
      <c r="Q8">
        <v>5</v>
      </c>
      <c r="R8">
        <v>80.701999999999998</v>
      </c>
      <c r="S8">
        <v>6779</v>
      </c>
      <c r="U8">
        <v>5</v>
      </c>
      <c r="V8">
        <v>73.286000000000001</v>
      </c>
      <c r="W8">
        <v>6156</v>
      </c>
      <c r="Y8">
        <v>5</v>
      </c>
      <c r="Z8">
        <v>67.762</v>
      </c>
      <c r="AA8">
        <v>5692</v>
      </c>
      <c r="AC8">
        <v>5</v>
      </c>
      <c r="AD8">
        <v>67.762</v>
      </c>
      <c r="AE8">
        <v>5692</v>
      </c>
    </row>
    <row r="9" spans="1:31" x14ac:dyDescent="0.25">
      <c r="A9">
        <v>7</v>
      </c>
      <c r="B9">
        <v>857.92899999999997</v>
      </c>
      <c r="C9">
        <v>72066</v>
      </c>
      <c r="E9">
        <v>7</v>
      </c>
      <c r="F9">
        <v>235.476</v>
      </c>
      <c r="G9">
        <v>19780</v>
      </c>
      <c r="I9">
        <v>6</v>
      </c>
      <c r="J9">
        <v>150.286</v>
      </c>
      <c r="K9">
        <v>12624</v>
      </c>
      <c r="M9">
        <v>6</v>
      </c>
      <c r="N9">
        <v>104.274</v>
      </c>
      <c r="O9">
        <v>8759</v>
      </c>
      <c r="Q9">
        <v>6</v>
      </c>
      <c r="R9">
        <v>80.631</v>
      </c>
      <c r="S9">
        <v>6773</v>
      </c>
      <c r="U9">
        <v>6</v>
      </c>
      <c r="V9">
        <v>73.286000000000001</v>
      </c>
      <c r="W9">
        <v>6156</v>
      </c>
      <c r="Y9">
        <v>6</v>
      </c>
      <c r="Z9">
        <v>67.929000000000002</v>
      </c>
      <c r="AA9">
        <v>5706</v>
      </c>
      <c r="AC9">
        <v>6</v>
      </c>
      <c r="AD9">
        <v>67.762</v>
      </c>
      <c r="AE9">
        <v>5692</v>
      </c>
    </row>
    <row r="10" spans="1:31" x14ac:dyDescent="0.25">
      <c r="A10">
        <v>8</v>
      </c>
      <c r="B10">
        <v>857.76800000000003</v>
      </c>
      <c r="C10">
        <v>72054</v>
      </c>
      <c r="E10">
        <v>8</v>
      </c>
      <c r="F10">
        <v>235.631</v>
      </c>
      <c r="G10">
        <v>19793</v>
      </c>
      <c r="I10">
        <v>7</v>
      </c>
      <c r="J10">
        <v>150.131</v>
      </c>
      <c r="K10">
        <v>12611</v>
      </c>
      <c r="M10">
        <v>7</v>
      </c>
      <c r="N10">
        <v>104.024</v>
      </c>
      <c r="O10">
        <v>8738</v>
      </c>
      <c r="Q10">
        <v>7</v>
      </c>
      <c r="R10">
        <v>80.619</v>
      </c>
      <c r="S10">
        <v>6772</v>
      </c>
      <c r="U10">
        <v>7</v>
      </c>
      <c r="V10">
        <v>73.298000000000002</v>
      </c>
      <c r="W10">
        <v>6157</v>
      </c>
      <c r="Y10">
        <v>7</v>
      </c>
      <c r="Z10">
        <v>67.762</v>
      </c>
      <c r="AA10">
        <v>5692</v>
      </c>
      <c r="AC10">
        <v>7</v>
      </c>
      <c r="AD10">
        <v>67.929000000000002</v>
      </c>
      <c r="AE10">
        <v>5706</v>
      </c>
    </row>
    <row r="11" spans="1:31" x14ac:dyDescent="0.25">
      <c r="A11">
        <v>9</v>
      </c>
      <c r="B11">
        <v>857.78599999999994</v>
      </c>
      <c r="C11">
        <v>72054</v>
      </c>
      <c r="E11">
        <v>9</v>
      </c>
      <c r="F11">
        <v>235.464</v>
      </c>
      <c r="G11">
        <v>19779</v>
      </c>
      <c r="I11">
        <v>8</v>
      </c>
      <c r="J11">
        <v>150.131</v>
      </c>
      <c r="K11">
        <v>12611</v>
      </c>
      <c r="M11">
        <v>8</v>
      </c>
      <c r="N11">
        <v>104.024</v>
      </c>
      <c r="O11">
        <v>8738</v>
      </c>
      <c r="Q11">
        <v>8</v>
      </c>
      <c r="R11">
        <v>80.619</v>
      </c>
      <c r="S11">
        <v>6772</v>
      </c>
      <c r="U11">
        <v>8</v>
      </c>
      <c r="V11">
        <v>73.429000000000002</v>
      </c>
      <c r="W11">
        <v>6168</v>
      </c>
      <c r="Y11">
        <v>8</v>
      </c>
      <c r="Z11">
        <v>67.893000000000001</v>
      </c>
      <c r="AA11">
        <v>5703</v>
      </c>
      <c r="AC11">
        <v>8</v>
      </c>
      <c r="AD11">
        <v>67.774000000000001</v>
      </c>
      <c r="AE11">
        <v>5693</v>
      </c>
    </row>
    <row r="12" spans="1:31" x14ac:dyDescent="0.25">
      <c r="A12">
        <v>10</v>
      </c>
      <c r="B12">
        <v>857.798</v>
      </c>
      <c r="C12">
        <v>72055</v>
      </c>
      <c r="E12">
        <v>10</v>
      </c>
      <c r="F12">
        <v>235.476</v>
      </c>
      <c r="G12">
        <v>19780</v>
      </c>
      <c r="I12">
        <v>9</v>
      </c>
      <c r="J12">
        <v>150.214</v>
      </c>
      <c r="K12">
        <v>12618</v>
      </c>
      <c r="M12">
        <v>9</v>
      </c>
      <c r="N12">
        <v>104.19</v>
      </c>
      <c r="O12">
        <v>8752</v>
      </c>
      <c r="Q12">
        <v>9</v>
      </c>
      <c r="R12">
        <v>80.619</v>
      </c>
      <c r="S12">
        <v>6772</v>
      </c>
      <c r="U12">
        <v>9</v>
      </c>
      <c r="V12">
        <v>73.298000000000002</v>
      </c>
      <c r="W12">
        <v>6157</v>
      </c>
      <c r="Y12">
        <v>9</v>
      </c>
      <c r="Z12">
        <v>67.844999999999999</v>
      </c>
      <c r="AA12">
        <v>5699</v>
      </c>
      <c r="AC12">
        <v>9</v>
      </c>
      <c r="AD12">
        <v>67.774000000000001</v>
      </c>
      <c r="AE12">
        <v>5693</v>
      </c>
    </row>
    <row r="13" spans="1:31" x14ac:dyDescent="0.25">
      <c r="A13" t="s">
        <v>12</v>
      </c>
      <c r="B13">
        <f>AVERAGE(B3:B12)</f>
        <v>857.88290000000018</v>
      </c>
      <c r="C13">
        <f>AVERAGE(C3:C12)</f>
        <v>72062.3</v>
      </c>
      <c r="E13" t="s">
        <v>12</v>
      </c>
      <c r="F13">
        <f>AVERAGE(F3:F12)</f>
        <v>235.49980000000005</v>
      </c>
      <c r="G13">
        <f>AVERAGE(G3:G12)</f>
        <v>19782</v>
      </c>
      <c r="I13">
        <v>10</v>
      </c>
      <c r="J13">
        <v>150.298</v>
      </c>
      <c r="K13">
        <v>12625</v>
      </c>
      <c r="M13">
        <v>10</v>
      </c>
      <c r="N13">
        <v>104.19</v>
      </c>
      <c r="O13">
        <v>8752</v>
      </c>
      <c r="Q13">
        <v>10</v>
      </c>
      <c r="R13">
        <v>80.69</v>
      </c>
      <c r="S13">
        <v>6778</v>
      </c>
      <c r="U13">
        <v>10</v>
      </c>
      <c r="V13">
        <v>73.298000000000002</v>
      </c>
      <c r="W13">
        <v>6157</v>
      </c>
      <c r="Y13">
        <v>10</v>
      </c>
      <c r="Z13">
        <v>67.844999999999999</v>
      </c>
      <c r="AA13">
        <v>5699</v>
      </c>
      <c r="AC13">
        <v>10</v>
      </c>
      <c r="AD13">
        <v>67.893000000000001</v>
      </c>
      <c r="AE13">
        <v>5703</v>
      </c>
    </row>
    <row r="14" spans="1:31" x14ac:dyDescent="0.25">
      <c r="A14" t="s">
        <v>19</v>
      </c>
      <c r="B14">
        <f>_xlfn.STDEV.S(B3:B12)</f>
        <v>8.4470178827263404E-2</v>
      </c>
      <c r="C14">
        <f>_xlfn.STDEV.S(C3:C12)</f>
        <v>6.8807299354388585</v>
      </c>
      <c r="E14" t="s">
        <v>19</v>
      </c>
      <c r="F14">
        <f>_xlfn.STDEV.S(F3:F12)</f>
        <v>6.6514492990459223E-2</v>
      </c>
      <c r="G14">
        <f>_xlfn.STDEV.S(G3:G12)</f>
        <v>5.5777335102271701</v>
      </c>
      <c r="I14" t="s">
        <v>12</v>
      </c>
      <c r="J14">
        <f>AVERAGE(J4:J13)</f>
        <v>150.19409999999999</v>
      </c>
      <c r="K14">
        <f>AVERAGE(K4:K13)</f>
        <v>12616.3</v>
      </c>
      <c r="M14" t="s">
        <v>12</v>
      </c>
      <c r="N14">
        <f>AVERAGE(N4:N13)</f>
        <v>104.1084</v>
      </c>
      <c r="O14">
        <f>AVERAGE(O4:O13)</f>
        <v>8745.1</v>
      </c>
      <c r="Q14" t="s">
        <v>12</v>
      </c>
      <c r="R14">
        <f>AVERAGE(R4:R13)</f>
        <v>80.646299999999997</v>
      </c>
      <c r="S14">
        <f>AVERAGE(S4:S13)</f>
        <v>6774.3</v>
      </c>
      <c r="U14" t="s">
        <v>12</v>
      </c>
      <c r="V14">
        <f>AVERAGE(V4:V13)</f>
        <v>73.331199999999995</v>
      </c>
      <c r="W14">
        <f>AVERAGE(W4:W13)</f>
        <v>6159.8</v>
      </c>
      <c r="Y14" t="s">
        <v>12</v>
      </c>
      <c r="Z14">
        <f>AVERAGE(Z4:Z13)</f>
        <v>67.872800000000012</v>
      </c>
      <c r="AA14">
        <f>AVERAGE(AA4:AA13)</f>
        <v>5701.3</v>
      </c>
      <c r="AC14" t="s">
        <v>12</v>
      </c>
      <c r="AD14">
        <f>AVERAGE(AD4:AD13)</f>
        <v>67.839500000000001</v>
      </c>
      <c r="AE14">
        <f>AVERAGE(AE4:AE13)</f>
        <v>5698.5</v>
      </c>
    </row>
    <row r="15" spans="1:31" x14ac:dyDescent="0.25">
      <c r="I15" t="s">
        <v>19</v>
      </c>
      <c r="J15">
        <f>_xlfn.STDEV.S(J4:J13)</f>
        <v>7.3069905645971531E-2</v>
      </c>
      <c r="K15">
        <f>_xlfn.STDEV.S(K4:K13)</f>
        <v>6.1291652503963929</v>
      </c>
      <c r="M15" t="s">
        <v>19</v>
      </c>
      <c r="N15">
        <f t="shared" ref="N15:S15" si="0">_xlfn.STDEV.S(N4:N13)</f>
        <v>9.1818903887549208E-2</v>
      </c>
      <c r="O15">
        <f t="shared" si="0"/>
        <v>7.7237008975979622</v>
      </c>
      <c r="Q15" t="s">
        <v>19</v>
      </c>
      <c r="R15">
        <f t="shared" si="0"/>
        <v>3.9143752162168532E-2</v>
      </c>
      <c r="S15">
        <f t="shared" si="0"/>
        <v>3.3015148038438356</v>
      </c>
      <c r="U15" t="s">
        <v>19</v>
      </c>
      <c r="V15">
        <f t="shared" ref="V15:W15" si="1">_xlfn.STDEV.S(V4:V13)</f>
        <v>6.4518386698848323E-2</v>
      </c>
      <c r="W15">
        <f t="shared" si="1"/>
        <v>5.4324130099902295</v>
      </c>
      <c r="Y15" t="s">
        <v>19</v>
      </c>
      <c r="Z15">
        <f t="shared" ref="Z15:AA15" si="2">_xlfn.STDEV.S(Z4:Z13)</f>
        <v>6.6574603098913637E-2</v>
      </c>
      <c r="AA15">
        <f t="shared" si="2"/>
        <v>5.578729445153459</v>
      </c>
      <c r="AC15" t="s">
        <v>19</v>
      </c>
      <c r="AD15">
        <f t="shared" ref="AD15:AE15" si="3">_xlfn.STDEV.S(AD4:AD13)</f>
        <v>7.6482750415444556E-2</v>
      </c>
      <c r="AE15">
        <f t="shared" si="3"/>
        <v>6.4161255183067194</v>
      </c>
    </row>
    <row r="17" spans="10:22" x14ac:dyDescent="0.25">
      <c r="J17">
        <f>84/2/64</f>
        <v>0.65625</v>
      </c>
      <c r="N17">
        <f>84/2/32</f>
        <v>1.3125</v>
      </c>
      <c r="R17">
        <f>84/2/16</f>
        <v>2.625</v>
      </c>
      <c r="V17">
        <f>84/2/8</f>
        <v>5.25</v>
      </c>
    </row>
    <row r="18" spans="10:22" x14ac:dyDescent="0.25">
      <c r="J18" t="s">
        <v>23</v>
      </c>
    </row>
  </sheetData>
  <mergeCells count="14">
    <mergeCell ref="AC1:AE1"/>
    <mergeCell ref="AC2:AE2"/>
    <mergeCell ref="Q1:S1"/>
    <mergeCell ref="Q2:S2"/>
    <mergeCell ref="U1:W1"/>
    <mergeCell ref="U2:W2"/>
    <mergeCell ref="Y1:AA1"/>
    <mergeCell ref="Y2:AA2"/>
    <mergeCell ref="A1:C1"/>
    <mergeCell ref="E1:G1"/>
    <mergeCell ref="I1:K1"/>
    <mergeCell ref="I2:K2"/>
    <mergeCell ref="M1:O1"/>
    <mergeCell ref="M2:O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72B2-629C-48F6-8408-C670D7FCB5CE}">
  <dimension ref="A1:AE15"/>
  <sheetViews>
    <sheetView workbookViewId="0">
      <selection activeCell="C17" sqref="C17"/>
    </sheetView>
  </sheetViews>
  <sheetFormatPr defaultRowHeight="15" x14ac:dyDescent="0.25"/>
  <cols>
    <col min="1" max="1" width="11.7109375" bestFit="1" customWidth="1"/>
    <col min="2" max="3" width="12" bestFit="1" customWidth="1"/>
  </cols>
  <sheetData>
    <row r="1" spans="1:31" x14ac:dyDescent="0.25">
      <c r="A1" s="2" t="s">
        <v>13</v>
      </c>
      <c r="B1" s="2"/>
      <c r="C1" s="2"/>
      <c r="E1" s="2" t="s">
        <v>14</v>
      </c>
      <c r="F1" s="2"/>
      <c r="G1" s="2"/>
      <c r="I1" s="2" t="s">
        <v>15</v>
      </c>
      <c r="J1" s="2"/>
      <c r="K1" s="2"/>
      <c r="M1" s="2" t="s">
        <v>15</v>
      </c>
      <c r="N1" s="2"/>
      <c r="O1" s="2"/>
      <c r="Q1" s="2" t="s">
        <v>15</v>
      </c>
      <c r="R1" s="2"/>
      <c r="S1" s="2"/>
      <c r="U1" s="2" t="s">
        <v>15</v>
      </c>
      <c r="V1" s="2"/>
      <c r="W1" s="2"/>
      <c r="Y1" s="2" t="s">
        <v>15</v>
      </c>
      <c r="Z1" s="2"/>
      <c r="AA1" s="2"/>
      <c r="AC1" s="2" t="s">
        <v>15</v>
      </c>
      <c r="AD1" s="2"/>
      <c r="AE1" s="2"/>
    </row>
    <row r="2" spans="1:31" x14ac:dyDescent="0.25">
      <c r="A2" t="s">
        <v>0</v>
      </c>
      <c r="B2" t="s">
        <v>10</v>
      </c>
      <c r="C2" t="s">
        <v>11</v>
      </c>
      <c r="E2" t="s">
        <v>0</v>
      </c>
      <c r="F2" t="s">
        <v>10</v>
      </c>
      <c r="G2" t="s">
        <v>11</v>
      </c>
      <c r="I2" s="2" t="s">
        <v>16</v>
      </c>
      <c r="J2" s="2"/>
      <c r="K2" s="2"/>
      <c r="M2" s="2" t="s">
        <v>17</v>
      </c>
      <c r="N2" s="2"/>
      <c r="O2" s="2"/>
      <c r="Q2" s="2" t="s">
        <v>18</v>
      </c>
      <c r="R2" s="2"/>
      <c r="S2" s="2"/>
      <c r="U2" s="2" t="s">
        <v>20</v>
      </c>
      <c r="V2" s="2"/>
      <c r="W2" s="2"/>
      <c r="Y2" s="2" t="s">
        <v>21</v>
      </c>
      <c r="Z2" s="2"/>
      <c r="AA2" s="2"/>
      <c r="AC2" s="2" t="s">
        <v>22</v>
      </c>
      <c r="AD2" s="2"/>
      <c r="AE2" s="2"/>
    </row>
    <row r="3" spans="1:31" x14ac:dyDescent="0.25">
      <c r="A3">
        <v>1</v>
      </c>
      <c r="B3">
        <v>4319.4880000000003</v>
      </c>
      <c r="C3">
        <v>362837</v>
      </c>
      <c r="E3">
        <v>1</v>
      </c>
      <c r="F3">
        <v>4242.9880000000003</v>
      </c>
      <c r="G3">
        <v>356511</v>
      </c>
      <c r="I3" t="s">
        <v>0</v>
      </c>
      <c r="J3" t="s">
        <v>10</v>
      </c>
      <c r="K3" t="s">
        <v>11</v>
      </c>
      <c r="M3" t="s">
        <v>0</v>
      </c>
      <c r="N3" t="s">
        <v>10</v>
      </c>
      <c r="O3" t="s">
        <v>11</v>
      </c>
      <c r="Q3" t="s">
        <v>0</v>
      </c>
      <c r="R3" t="s">
        <v>10</v>
      </c>
      <c r="S3" t="s">
        <v>11</v>
      </c>
      <c r="U3" t="s">
        <v>0</v>
      </c>
      <c r="V3" t="s">
        <v>10</v>
      </c>
      <c r="W3" t="s">
        <v>11</v>
      </c>
      <c r="Y3" t="s">
        <v>0</v>
      </c>
      <c r="Z3" t="s">
        <v>10</v>
      </c>
      <c r="AA3" t="s">
        <v>11</v>
      </c>
      <c r="AC3" t="s">
        <v>0</v>
      </c>
      <c r="AD3" t="s">
        <v>10</v>
      </c>
      <c r="AE3" t="s">
        <v>11</v>
      </c>
    </row>
    <row r="4" spans="1:31" x14ac:dyDescent="0.25">
      <c r="A4">
        <v>2</v>
      </c>
      <c r="B4">
        <v>4319.4880000000003</v>
      </c>
      <c r="C4">
        <v>362837</v>
      </c>
      <c r="E4">
        <v>2</v>
      </c>
      <c r="F4">
        <v>4242.9880000000003</v>
      </c>
      <c r="G4">
        <v>356511</v>
      </c>
      <c r="I4">
        <v>1</v>
      </c>
      <c r="M4">
        <v>1</v>
      </c>
      <c r="Q4">
        <v>1</v>
      </c>
      <c r="U4">
        <v>1</v>
      </c>
      <c r="Y4">
        <v>1</v>
      </c>
      <c r="AC4">
        <v>1</v>
      </c>
    </row>
    <row r="5" spans="1:31" x14ac:dyDescent="0.25">
      <c r="A5">
        <v>3</v>
      </c>
      <c r="B5">
        <v>4319.4880000000003</v>
      </c>
      <c r="C5">
        <v>362837</v>
      </c>
      <c r="E5">
        <v>3</v>
      </c>
      <c r="F5">
        <v>4242.9880000000003</v>
      </c>
      <c r="G5">
        <v>356511</v>
      </c>
      <c r="I5">
        <v>2</v>
      </c>
      <c r="M5">
        <v>2</v>
      </c>
      <c r="Q5">
        <v>2</v>
      </c>
      <c r="U5">
        <v>2</v>
      </c>
      <c r="Y5">
        <v>2</v>
      </c>
      <c r="AC5">
        <v>2</v>
      </c>
    </row>
    <row r="6" spans="1:31" x14ac:dyDescent="0.25">
      <c r="A6">
        <v>4</v>
      </c>
      <c r="B6">
        <v>4319.4880000000003</v>
      </c>
      <c r="C6">
        <v>362837</v>
      </c>
      <c r="E6">
        <v>4</v>
      </c>
      <c r="F6">
        <v>4242.7139999999999</v>
      </c>
      <c r="G6">
        <v>356388</v>
      </c>
      <c r="I6">
        <v>3</v>
      </c>
      <c r="M6">
        <v>3</v>
      </c>
      <c r="Q6">
        <v>3</v>
      </c>
      <c r="U6">
        <v>3</v>
      </c>
      <c r="Y6">
        <v>3</v>
      </c>
      <c r="AC6">
        <v>3</v>
      </c>
    </row>
    <row r="7" spans="1:31" x14ac:dyDescent="0.25">
      <c r="A7">
        <v>5</v>
      </c>
      <c r="B7">
        <v>4319.4880000000003</v>
      </c>
      <c r="C7">
        <v>362837</v>
      </c>
      <c r="E7">
        <v>5</v>
      </c>
      <c r="F7">
        <v>4242.9880000000003</v>
      </c>
      <c r="G7">
        <v>356511</v>
      </c>
      <c r="I7">
        <v>4</v>
      </c>
      <c r="M7">
        <v>4</v>
      </c>
      <c r="Q7">
        <v>4</v>
      </c>
      <c r="U7">
        <v>4</v>
      </c>
      <c r="Y7">
        <v>4</v>
      </c>
      <c r="AC7">
        <v>4</v>
      </c>
    </row>
    <row r="8" spans="1:31" x14ac:dyDescent="0.25">
      <c r="A8">
        <v>6</v>
      </c>
      <c r="B8">
        <v>4319.4880000000003</v>
      </c>
      <c r="C8">
        <v>362837</v>
      </c>
      <c r="E8">
        <v>6</v>
      </c>
      <c r="F8">
        <v>4242.7139999999999</v>
      </c>
      <c r="G8">
        <v>356388</v>
      </c>
      <c r="I8">
        <v>5</v>
      </c>
      <c r="M8">
        <v>5</v>
      </c>
      <c r="Q8">
        <v>5</v>
      </c>
      <c r="U8">
        <v>5</v>
      </c>
      <c r="Y8">
        <v>5</v>
      </c>
      <c r="AC8">
        <v>5</v>
      </c>
    </row>
    <row r="9" spans="1:31" x14ac:dyDescent="0.25">
      <c r="A9">
        <v>7</v>
      </c>
      <c r="B9">
        <v>4319.4880000000003</v>
      </c>
      <c r="C9">
        <v>362837</v>
      </c>
      <c r="E9">
        <v>7</v>
      </c>
      <c r="F9">
        <v>4242.9880000000003</v>
      </c>
      <c r="G9">
        <v>356511</v>
      </c>
      <c r="I9">
        <v>6</v>
      </c>
      <c r="M9">
        <v>6</v>
      </c>
      <c r="Q9">
        <v>6</v>
      </c>
      <c r="U9">
        <v>6</v>
      </c>
      <c r="Y9">
        <v>6</v>
      </c>
      <c r="AC9">
        <v>6</v>
      </c>
    </row>
    <row r="10" spans="1:31" x14ac:dyDescent="0.25">
      <c r="A10">
        <v>8</v>
      </c>
      <c r="B10">
        <v>4319.4880000000003</v>
      </c>
      <c r="C10">
        <v>362837</v>
      </c>
      <c r="E10">
        <v>8</v>
      </c>
      <c r="F10">
        <v>4242.7020000000002</v>
      </c>
      <c r="G10">
        <v>356387</v>
      </c>
      <c r="I10">
        <v>7</v>
      </c>
      <c r="M10">
        <v>7</v>
      </c>
      <c r="Q10">
        <v>7</v>
      </c>
      <c r="U10">
        <v>7</v>
      </c>
      <c r="Y10">
        <v>7</v>
      </c>
      <c r="AC10">
        <v>7</v>
      </c>
    </row>
    <row r="11" spans="1:31" x14ac:dyDescent="0.25">
      <c r="A11">
        <v>9</v>
      </c>
      <c r="B11">
        <v>4319.4880000000003</v>
      </c>
      <c r="C11">
        <v>362837</v>
      </c>
      <c r="E11">
        <v>9</v>
      </c>
      <c r="F11">
        <v>4242.9880000000003</v>
      </c>
      <c r="G11">
        <v>356411</v>
      </c>
      <c r="I11">
        <v>8</v>
      </c>
      <c r="M11">
        <v>8</v>
      </c>
      <c r="Q11">
        <v>8</v>
      </c>
      <c r="U11">
        <v>8</v>
      </c>
      <c r="Y11">
        <v>8</v>
      </c>
      <c r="AC11">
        <v>8</v>
      </c>
    </row>
    <row r="12" spans="1:31" x14ac:dyDescent="0.25">
      <c r="A12">
        <v>10</v>
      </c>
      <c r="B12">
        <v>4319.4880000000003</v>
      </c>
      <c r="C12">
        <v>362837</v>
      </c>
      <c r="E12">
        <v>10</v>
      </c>
      <c r="F12">
        <v>4242.9880000000003</v>
      </c>
      <c r="G12">
        <v>356411</v>
      </c>
      <c r="I12">
        <v>9</v>
      </c>
      <c r="M12">
        <v>9</v>
      </c>
      <c r="Q12">
        <v>9</v>
      </c>
      <c r="U12">
        <v>9</v>
      </c>
      <c r="Y12">
        <v>9</v>
      </c>
      <c r="AC12">
        <v>9</v>
      </c>
    </row>
    <row r="13" spans="1:31" x14ac:dyDescent="0.25">
      <c r="A13" t="s">
        <v>12</v>
      </c>
      <c r="B13">
        <f>AVERAGE(B3:B12)</f>
        <v>4319.4879999999994</v>
      </c>
      <c r="C13">
        <f>AVERAGE(C3:C12)</f>
        <v>362837</v>
      </c>
      <c r="E13" t="s">
        <v>12</v>
      </c>
      <c r="F13">
        <f>AVERAGE(F3:F12)</f>
        <v>4242.9045999999998</v>
      </c>
      <c r="G13">
        <f>AVERAGE(G3:G12)</f>
        <v>356454</v>
      </c>
      <c r="I13">
        <v>10</v>
      </c>
      <c r="M13">
        <v>10</v>
      </c>
      <c r="Q13">
        <v>10</v>
      </c>
      <c r="U13">
        <v>10</v>
      </c>
      <c r="Y13">
        <v>10</v>
      </c>
      <c r="AC13">
        <v>10</v>
      </c>
    </row>
    <row r="14" spans="1:31" x14ac:dyDescent="0.25">
      <c r="A14" t="s">
        <v>19</v>
      </c>
      <c r="B14">
        <f>_xlfn.STDEV.S(B3:B12)</f>
        <v>9.5869159248601121E-13</v>
      </c>
      <c r="C14">
        <f>_xlfn.STDEV.S(C3:C12)</f>
        <v>0</v>
      </c>
      <c r="E14" t="s">
        <v>19</v>
      </c>
      <c r="F14">
        <f>_xlfn.STDEV.S(F3:F12)</f>
        <v>0.13432646798018472</v>
      </c>
      <c r="G14">
        <f>_xlfn.STDEV.S(G3:G12)</f>
        <v>60.68497892120147</v>
      </c>
      <c r="I14" t="s">
        <v>12</v>
      </c>
      <c r="J14" t="e">
        <f>AVERAGE(J4:J13)</f>
        <v>#DIV/0!</v>
      </c>
      <c r="K14" t="e">
        <f>AVERAGE(K4:K13)</f>
        <v>#DIV/0!</v>
      </c>
      <c r="M14" t="s">
        <v>12</v>
      </c>
      <c r="N14" t="e">
        <f>AVERAGE(N4:N13)</f>
        <v>#DIV/0!</v>
      </c>
      <c r="O14" t="e">
        <f>AVERAGE(O4:O13)</f>
        <v>#DIV/0!</v>
      </c>
      <c r="Q14" t="s">
        <v>12</v>
      </c>
      <c r="R14" t="e">
        <f>AVERAGE(R4:R13)</f>
        <v>#DIV/0!</v>
      </c>
      <c r="S14" t="e">
        <f>AVERAGE(S4:S13)</f>
        <v>#DIV/0!</v>
      </c>
      <c r="U14" t="s">
        <v>12</v>
      </c>
      <c r="V14" t="e">
        <f>AVERAGE(V4:V13)</f>
        <v>#DIV/0!</v>
      </c>
      <c r="W14" t="e">
        <f>AVERAGE(W4:W13)</f>
        <v>#DIV/0!</v>
      </c>
      <c r="Y14" t="s">
        <v>12</v>
      </c>
      <c r="Z14" t="e">
        <f>AVERAGE(Z4:Z13)</f>
        <v>#DIV/0!</v>
      </c>
      <c r="AA14" t="e">
        <f>AVERAGE(AA4:AA13)</f>
        <v>#DIV/0!</v>
      </c>
      <c r="AC14" t="s">
        <v>12</v>
      </c>
      <c r="AD14" t="e">
        <f>AVERAGE(AD4:AD13)</f>
        <v>#DIV/0!</v>
      </c>
      <c r="AE14" t="e">
        <f>AVERAGE(AE4:AE13)</f>
        <v>#DIV/0!</v>
      </c>
    </row>
    <row r="15" spans="1:31" x14ac:dyDescent="0.25">
      <c r="I15" t="s">
        <v>19</v>
      </c>
      <c r="J15" t="e">
        <f>_xlfn.STDEV.S(J4:J13)</f>
        <v>#DIV/0!</v>
      </c>
      <c r="K15" t="e">
        <f>_xlfn.STDEV.S(K4:K13)</f>
        <v>#DIV/0!</v>
      </c>
      <c r="M15" t="s">
        <v>19</v>
      </c>
      <c r="N15" t="e">
        <f t="shared" ref="N15:S15" si="0">_xlfn.STDEV.S(N4:N13)</f>
        <v>#DIV/0!</v>
      </c>
      <c r="O15" t="e">
        <f t="shared" si="0"/>
        <v>#DIV/0!</v>
      </c>
      <c r="Q15" t="s">
        <v>19</v>
      </c>
      <c r="R15" t="e">
        <f t="shared" si="0"/>
        <v>#DIV/0!</v>
      </c>
      <c r="S15" t="e">
        <f t="shared" si="0"/>
        <v>#DIV/0!</v>
      </c>
      <c r="U15" t="s">
        <v>19</v>
      </c>
      <c r="V15" t="e">
        <f t="shared" ref="V15:W15" si="1">_xlfn.STDEV.S(V4:V13)</f>
        <v>#DIV/0!</v>
      </c>
      <c r="W15" t="e">
        <f t="shared" si="1"/>
        <v>#DIV/0!</v>
      </c>
      <c r="Y15" t="s">
        <v>19</v>
      </c>
      <c r="Z15" t="e">
        <f t="shared" ref="Z15:AA15" si="2">_xlfn.STDEV.S(Z4:Z13)</f>
        <v>#DIV/0!</v>
      </c>
      <c r="AA15" t="e">
        <f t="shared" si="2"/>
        <v>#DIV/0!</v>
      </c>
      <c r="AC15" t="s">
        <v>19</v>
      </c>
      <c r="AD15" t="e">
        <f t="shared" ref="AD15:AE15" si="3">_xlfn.STDEV.S(AD4:AD13)</f>
        <v>#DIV/0!</v>
      </c>
      <c r="AE15" t="e">
        <f t="shared" si="3"/>
        <v>#DIV/0!</v>
      </c>
    </row>
  </sheetData>
  <mergeCells count="14">
    <mergeCell ref="A1:C1"/>
    <mergeCell ref="E1:G1"/>
    <mergeCell ref="I1:K1"/>
    <mergeCell ref="M1:O1"/>
    <mergeCell ref="Q1:S1"/>
    <mergeCell ref="Y1:AA1"/>
    <mergeCell ref="AC1:AE1"/>
    <mergeCell ref="I2:K2"/>
    <mergeCell ref="M2:O2"/>
    <mergeCell ref="Q2:S2"/>
    <mergeCell ref="U2:W2"/>
    <mergeCell ref="Y2:AA2"/>
    <mergeCell ref="AC2:AE2"/>
    <mergeCell ref="U1:W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SD</vt:lpstr>
      <vt:lpstr>BMP280</vt:lpstr>
      <vt:lpstr>MS5611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Claro</dc:creator>
  <cp:lastModifiedBy>Enzo Claro</cp:lastModifiedBy>
  <dcterms:created xsi:type="dcterms:W3CDTF">2026-01-05T21:16:56Z</dcterms:created>
  <dcterms:modified xsi:type="dcterms:W3CDTF">2026-02-04T21:53:59Z</dcterms:modified>
</cp:coreProperties>
</file>